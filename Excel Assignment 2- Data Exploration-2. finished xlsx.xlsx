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20" windowHeight="11280"/>
  </bookViews>
  <sheets>
    <sheet name="Dataset" sheetId="1" r:id="rId1"/>
    <sheet name="Sheet1" sheetId="2" r:id="rId2"/>
    <sheet name="Duplicate item count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<sst xmlns="http://schemas.openxmlformats.org/spreadsheetml/2006/main" count="331" uniqueCount="126">
  <si>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</si>
  <si>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</si>
  <si>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</si>
  <si>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</si>
  <si>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</si>
  <si>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</si>
  <si>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</si>
  <si>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</si>
  <si>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</si>
  <si>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</si>
  <si>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</si>
  <si>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</si>
  <si>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</si>
  <si>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</si>
  <si>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</si>
  <si>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</si>
  <si>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</si>
  <si>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</si>
  <si>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</si>
  <si>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</si>
  <si>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</si>
  <si>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</si>
  <si>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</si>
  <si>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</si>
  <si>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</si>
  <si>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</si>
  <si>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</si>
  <si>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</si>
  <si>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</si>
  <si>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</si>
  <si>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</si>
  <si>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</si>
  <si>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</si>
  <si>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</si>
  <si>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</si>
  <si>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</si>
  <si>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</si>
  <si>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</si>
  <si>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</si>
  <si>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</si>
  <si>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</si>
  <si>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</si>
  <si>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</si>
  <si>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</si>
  <si>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</si>
  <si>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</si>
  <si>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</si>
  <si>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</si>
  <si>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</si>
  <si>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</si>
  <si>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</si>
  <si>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</si>
  <si>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</si>
  <si>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</si>
  <si>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</si>
  <si>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</si>
  <si>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</si>
  <si>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</si>
  <si>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</si>
  <si>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</si>
  <si>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</si>
  <si>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</si>
  <si>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</si>
  <si>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</si>
  <si>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</si>
  <si>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</si>
  <si>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</si>
  <si>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</si>
  <si>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</si>
  <si>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</si>
  <si>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</si>
  <si>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</si>
  <si>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</si>
  <si>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</si>
  <si>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</si>
  <si>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</si>
  <si>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</si>
  <si>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</si>
  <si>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</si>
  <si>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</si>
  <si>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</si>
  <si>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</si>
  <si>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</si>
  <si>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</si>
  <si>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</si>
  <si>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</si>
  <si>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</si>
  <si>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</si>
  <si>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</si>
  <si>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</si>
  <si>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</si>
  <si>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</si>
  <si>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</si>
  <si>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</si>
  <si>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>Currency</t>
  </si>
  <si>
    <t>Product Name2</t>
  </si>
  <si>
    <t>Product Brand</t>
  </si>
  <si>
    <t>Price value</t>
  </si>
  <si>
    <t>Price</t>
  </si>
  <si>
    <t>Status</t>
  </si>
  <si>
    <t>Accessaries</t>
  </si>
  <si>
    <t>Orginal</t>
  </si>
  <si>
    <t>Duplicate</t>
  </si>
  <si>
    <t>OBSERVATION</t>
  </si>
  <si>
    <t xml:space="preserve"> No Products have missing category values, so no imputation is required. All records contain valid category information</t>
  </si>
  <si>
    <t xml:space="preserve"> The dataset appear to be well standardized. No visible inconsistent or misspellings are present in the Product Name or Category columns. Therefore, no find &amp; Replace corrections are required based on the data shown.</t>
  </si>
  <si>
    <t xml:space="preserve">   The duplicate records were</t>
  </si>
  <si>
    <t xml:space="preserve">        17-JUN-IN | Laptop | HP | 950 | 25 |Electronics</t>
  </si>
  <si>
    <t xml:space="preserve">        21-AUG-CA | Laptop Bag | Samsonite | 50 | 35 | Accessories</t>
  </si>
  <si>
    <t>The duplicate rows were removed, leaving only one instance of each record.</t>
  </si>
  <si>
    <t>After removing duplicate, the dataset became cleaner, more accurate and suitable for for</t>
  </si>
  <si>
    <t>further analysis without redundant entries.</t>
  </si>
  <si>
    <t xml:space="preserve"> The Product ID column was successfullu split into two sepertae columns </t>
  </si>
  <si>
    <t xml:space="preserve">           Manufacturing Date</t>
  </si>
  <si>
    <t xml:space="preserve">           Country Code</t>
  </si>
  <si>
    <t xml:space="preserve"> The Brand Name and Product Name columns were successfilly merged into a New column named PRODUCT BRAND</t>
  </si>
  <si>
    <t xml:space="preserve"> Example</t>
  </si>
  <si>
    <t xml:space="preserve">  Dell - Laptop</t>
  </si>
  <si>
    <t xml:space="preserve">  Samsung - Smartphone</t>
  </si>
  <si>
    <t xml:space="preserve"> The Price column has been formatted as Currency, making all price consistant and easier to read.</t>
  </si>
  <si>
    <t xml:space="preserve"> The Manufacture date is display in the DD-MM-YYYY foramt, providing a standardized date format throughout the dataset</t>
  </si>
  <si>
    <t xml:space="preserve"> The Price column uses a color scale, allowing users to quick  compare products prices without reading each value.</t>
  </si>
  <si>
    <t xml:space="preserve">      High-priced products like such as Laptop ($1,000) &amp; Smartphone( $900 ) are highlighted with YELLOW shade</t>
  </si>
  <si>
    <t xml:space="preserve">        While lower - priced items like T-Shirt ( $30 )  &amp; Toaster ( $ 40 ) are highlighted with Green colors </t>
  </si>
  <si>
    <t xml:space="preserve"> The Electronics category is clearly highlighted, making it easy to filter and identify Electronics products </t>
  </si>
  <si>
    <t xml:space="preserve"> Conditional formating improves the readability of the dataset and help users identify trends and improtant values at a glance...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</si>
</sst>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  <numFmt numFmtId="177" formatCode="[$₹-449]#,##0.00_);[Red]\([$₹-449]#,##0.00\)"/>
    <numFmt numFmtId="178" formatCode="&quot;£&quot;#,##0.00_);[Red]\(&quot;£&quot;#,##0.00\)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 Bold"/>
      <charset val="134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4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Font="1" applyAlignment="1">
      <alignment horizontal="justify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7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177" fontId="4" fillId="3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77" fontId="4" fillId="0" borderId="0" xfId="0" applyNumberFormat="1" applyFont="1" applyFill="1" applyAlignment="1">
      <alignment horizontal="center"/>
    </xf>
    <xf numFmtId="178" fontId="0" fillId="0" borderId="0" xfId="0" applyNumberFormat="1" applyFont="1" applyAlignment="1"/>
    <xf numFmtId="0" fontId="3" fillId="0" borderId="0" xfId="0" applyFont="1" applyAlignment="1">
      <alignment horizontal="center"/>
    </xf>
    <xf numFmtId="0" fontId="4" fillId="0" borderId="0" xfId="0" applyFont="1"/>
    <xf numFmtId="0" fontId="4" fillId="3" borderId="0" xfId="0" applyFont="1" applyFill="1"/>
    <xf numFmtId="0" fontId="4" fillId="4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8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numFmt numFmtId="49" formatCode="@"/>
    </dxf>
    <dxf>
      <fill>
        <patternFill patternType="solid">
          <bgColor theme="2" tint="-0.35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2" tint="-0.05"/>
        </patternFill>
      </fill>
    </dxf>
    <dxf>
      <font>
        <b val="0"/>
        <i val="0"/>
      </font>
      <fill>
        <patternFill patternType="solid">
          <bgColor theme="6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37"/>
      <tableStyleElement type="totalRow" dxfId="36"/>
      <tableStyleElement type="firstRowStripe" dxfId="35"/>
      <tableStyleElement type="firstColumnStripe" dxfId="34"/>
      <tableStyleElement type="firstSubtotalRow" dxfId="33"/>
      <tableStyleElement type="secondSubtotalRow" dxfId="32"/>
      <tableStyleElement type="firstRowSubheading" dxfId="31"/>
      <tableStyleElement type="secondRowSubheading" dxfId="30"/>
      <tableStyleElement type="pageFieldLabels" dxfId="29"/>
      <tableStyleElement type="pageFieldValues" dxfId="2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0311203319502075"/>
          <c:y val="0.15040650406504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311892236425102"/>
          <c:y val="0.134345780512749"/>
          <c:w val="0.513015648483777"/>
          <c:h val="0.765934530095037"/>
        </c:manualLayout>
      </c:layout>
      <c:pieChart>
        <c:varyColors val="1"/>
        <c:ser>
          <c:idx val="0"/>
          <c:order val="0"/>
          <c:tx>
            <c:strRef>
              <c:f>'Duplicate item count'!$B$1</c:f>
              <c:strCache>
                <c:ptCount val="1"/>
                <c:pt idx="0">
                  <c:v>Product Name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hueOff val="-167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hueOff val="-167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hueOff val="-1670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hueOff val="-167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hueOff val="-1670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hueOff val="-1670000"/>
                    </a:schemeClr>
                  </a:gs>
                  <a:gs pos="10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hueOff val="-1670000"/>
                    </a:schemeClr>
                  </a:gs>
                  <a:gs pos="10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hueOff val="-1670000"/>
                    </a:schemeClr>
                  </a:gs>
                  <a:gs pos="10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hueOff val="-1670000"/>
                    </a:schemeClr>
                  </a:gs>
                  <a:gs pos="10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hueOff val="-1670000"/>
                    </a:schemeClr>
                  </a:gs>
                  <a:gs pos="10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hueOff val="-1670000"/>
                    </a:schemeClr>
                  </a:gs>
                  <a:gs pos="10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hueOff val="-1670000"/>
                    </a:schemeClr>
                  </a:gs>
                  <a:gs pos="10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hueOff val="-1670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hueOff val="-1670000"/>
                    </a:schemeClr>
                  </a:gs>
                  <a:gs pos="10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hueOff val="-1670000"/>
                    </a:schemeClr>
                  </a:gs>
                  <a:gs pos="10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hueOff val="-1670000"/>
                    </a:schemeClr>
                  </a:gs>
                  <a:gs pos="10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hueOff val="-1670000"/>
                    </a:schemeClr>
                  </a:gs>
                  <a:gs pos="10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  <a:gs pos="10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  <a:gs pos="10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'Duplicate item count'!$A$5:$A$42</c:f>
              <c:strCache>
                <c:ptCount val="38"/>
                <c:pt idx="0">
                  <c:v>17-JUN-IN</c:v>
                </c:pt>
              </c:strCache>
            </c:strRef>
          </c:cat>
          <c:val>
            <c:numRef>
              <c:f>'Duplicate item count'!$B$5:$B$42</c:f>
              <c:numCache>
                <c:formatCode>General</c:formatCode>
                <c:ptCount val="38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'Duplicate item count'!$C$1</c:f>
              <c:strCache>
                <c:ptCount val="1"/>
                <c:pt idx="0">
                  <c:v>Brand Name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hueOff val="-167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hueOff val="-167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hueOff val="-1670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hueOff val="-167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hueOff val="-1670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hueOff val="-1670000"/>
                    </a:schemeClr>
                  </a:gs>
                  <a:gs pos="10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hueOff val="-1670000"/>
                    </a:schemeClr>
                  </a:gs>
                  <a:gs pos="10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hueOff val="-1670000"/>
                    </a:schemeClr>
                  </a:gs>
                  <a:gs pos="10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hueOff val="-1670000"/>
                    </a:schemeClr>
                  </a:gs>
                  <a:gs pos="10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hueOff val="-1670000"/>
                    </a:schemeClr>
                  </a:gs>
                  <a:gs pos="10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hueOff val="-1670000"/>
                    </a:schemeClr>
                  </a:gs>
                  <a:gs pos="10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hueOff val="-1670000"/>
                    </a:schemeClr>
                  </a:gs>
                  <a:gs pos="10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hueOff val="-1670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hueOff val="-1670000"/>
                    </a:schemeClr>
                  </a:gs>
                  <a:gs pos="10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hueOff val="-1670000"/>
                    </a:schemeClr>
                  </a:gs>
                  <a:gs pos="10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hueOff val="-1670000"/>
                    </a:schemeClr>
                  </a:gs>
                  <a:gs pos="10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hueOff val="-1670000"/>
                    </a:schemeClr>
                  </a:gs>
                  <a:gs pos="10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  <a:gs pos="10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  <a:gs pos="10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'Duplicate item count'!$A$5:$A$42</c:f>
              <c:strCache>
                <c:ptCount val="38"/>
                <c:pt idx="0">
                  <c:v>17-JUN-IN</c:v>
                </c:pt>
              </c:strCache>
            </c:strRef>
          </c:cat>
          <c:val>
            <c:numRef>
              <c:f>'Duplicate item count'!$C$5:$C$42</c:f>
              <c:numCache>
                <c:formatCode>General</c:formatCode>
                <c:ptCount val="38"/>
                <c:pt idx="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73916c-a35c-407a-8a2a-f05762228df7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311892236425102"/>
          <c:y val="0.134345780512749"/>
          <c:w val="0.513015648483777"/>
          <c:h val="0.765934530095037"/>
        </c:manualLayout>
      </c:layout>
      <c:pieChart>
        <c:varyColors val="1"/>
        <c:ser>
          <c:idx val="0"/>
          <c:order val="0"/>
          <c:tx>
            <c:strRef>
              <c:f>'Duplicate item count'!$B$1</c:f>
              <c:strCache>
                <c:ptCount val="1"/>
                <c:pt idx="0">
                  <c:v>Product Name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hueOff val="-167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hueOff val="-167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hueOff val="-1670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hueOff val="-167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hueOff val="-1670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hueOff val="-1670000"/>
                    </a:schemeClr>
                  </a:gs>
                  <a:gs pos="10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hueOff val="-1670000"/>
                    </a:schemeClr>
                  </a:gs>
                  <a:gs pos="10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hueOff val="-1670000"/>
                    </a:schemeClr>
                  </a:gs>
                  <a:gs pos="10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hueOff val="-1670000"/>
                    </a:schemeClr>
                  </a:gs>
                  <a:gs pos="10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hueOff val="-1670000"/>
                    </a:schemeClr>
                  </a:gs>
                  <a:gs pos="10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hueOff val="-1670000"/>
                    </a:schemeClr>
                  </a:gs>
                  <a:gs pos="10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hueOff val="-1670000"/>
                    </a:schemeClr>
                  </a:gs>
                  <a:gs pos="10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hueOff val="-1670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hueOff val="-1670000"/>
                    </a:schemeClr>
                  </a:gs>
                  <a:gs pos="10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hueOff val="-1670000"/>
                    </a:schemeClr>
                  </a:gs>
                  <a:gs pos="10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hueOff val="-1670000"/>
                    </a:schemeClr>
                  </a:gs>
                  <a:gs pos="10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hueOff val="-1670000"/>
                    </a:schemeClr>
                  </a:gs>
                  <a:gs pos="10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  <a:gs pos="10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  <a:gs pos="10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'Duplicate item count'!$A$5:$A$42</c:f>
              <c:strCache>
                <c:ptCount val="38"/>
                <c:pt idx="0">
                  <c:v>17-JUN-IN</c:v>
                </c:pt>
              </c:strCache>
            </c:strRef>
          </c:cat>
          <c:val>
            <c:numRef>
              <c:f>'Duplicate item count'!$B$5:$B$42</c:f>
              <c:numCache>
                <c:formatCode>General</c:formatCode>
                <c:ptCount val="38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'Duplicate item count'!$C$1</c:f>
              <c:strCache>
                <c:ptCount val="1"/>
                <c:pt idx="0">
                  <c:v>Brand Name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hueOff val="-167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hueOff val="-167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hueOff val="-1670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hueOff val="-167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hueOff val="-1670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hueOff val="-1670000"/>
                    </a:schemeClr>
                  </a:gs>
                  <a:gs pos="10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hueOff val="-1670000"/>
                    </a:schemeClr>
                  </a:gs>
                  <a:gs pos="10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hueOff val="-1670000"/>
                    </a:schemeClr>
                  </a:gs>
                  <a:gs pos="10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hueOff val="-1670000"/>
                    </a:schemeClr>
                  </a:gs>
                  <a:gs pos="10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hueOff val="-1670000"/>
                    </a:schemeClr>
                  </a:gs>
                  <a:gs pos="10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hueOff val="-1670000"/>
                    </a:schemeClr>
                  </a:gs>
                  <a:gs pos="10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hueOff val="-1670000"/>
                    </a:schemeClr>
                  </a:gs>
                  <a:gs pos="10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hueOff val="-1670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hueOff val="-1670000"/>
                    </a:schemeClr>
                  </a:gs>
                  <a:gs pos="10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hueOff val="-1670000"/>
                    </a:schemeClr>
                  </a:gs>
                  <a:gs pos="10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hueOff val="-1670000"/>
                    </a:schemeClr>
                  </a:gs>
                  <a:gs pos="10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hueOff val="-1670000"/>
                    </a:schemeClr>
                  </a:gs>
                  <a:gs pos="10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  <a:gs pos="10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  <a:gs pos="10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'Duplicate item count'!$A$5:$A$42</c:f>
              <c:strCache>
                <c:ptCount val="38"/>
                <c:pt idx="0">
                  <c:v>17-JUN-IN</c:v>
                </c:pt>
              </c:strCache>
            </c:strRef>
          </c:cat>
          <c:val>
            <c:numRef>
              <c:f>'Duplicate item count'!$C$5:$C$42</c:f>
              <c:numCache>
                <c:formatCode>General</c:formatCode>
                <c:ptCount val="38"/>
                <c:pt idx="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73916c-a35c-407a-8a2a-f05762228df7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481965</xdr:colOff>
      <xdr:row>34</xdr:row>
      <xdr:rowOff>149860</xdr:rowOff>
    </xdr:from>
    <xdr:to>
      <xdr:col>15</xdr:col>
      <xdr:colOff>448310</xdr:colOff>
      <xdr:row>35</xdr:row>
      <xdr:rowOff>46355</xdr:rowOff>
    </xdr:to>
    <xdr:graphicFrame>
      <xdr:nvGraphicFramePr>
        <xdr:cNvPr id="2" name="Chart 1"/>
        <xdr:cNvGraphicFramePr/>
      </xdr:nvGraphicFramePr>
      <xdr:xfrm>
        <a:off x="12322175" y="6367780"/>
        <a:ext cx="616585" cy="79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321310</xdr:colOff>
      <xdr:row>35</xdr:row>
      <xdr:rowOff>180975</xdr:rowOff>
    </xdr:from>
    <xdr:to>
      <xdr:col>13</xdr:col>
      <xdr:colOff>525145</xdr:colOff>
      <xdr:row>37</xdr:row>
      <xdr:rowOff>43815</xdr:rowOff>
    </xdr:to>
    <xdr:graphicFrame>
      <xdr:nvGraphicFramePr>
        <xdr:cNvPr id="4" name="Chart 3"/>
        <xdr:cNvGraphicFramePr/>
      </xdr:nvGraphicFramePr>
      <xdr:xfrm>
        <a:off x="11511280" y="6581775"/>
        <a:ext cx="203835" cy="22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K35" totalsRowShown="0">
  <autoFilter xmlns:etc="http://www.wps.cn/officeDocument/2017/etCustomData" ref="A1:K35" etc:filterBottomFollowUsedRange="0"/>
  <tableColumns count="11">
    <tableColumn id="1" name="Product ID" dataDxfId="0"/>
    <tableColumn id="2" name="Product Name" dataDxfId="1"/>
    <tableColumn id="3" name="Brand Name" dataDxfId="2"/>
    <tableColumn id="4" name="Quantity" dataDxfId="3"/>
    <tableColumn id="5" name="Category" dataDxfId="4"/>
    <tableColumn id="6" name="Price ($)" dataDxfId="5"/>
    <tableColumn id="9" name="Country Code" dataDxfId="6">
      <calculatedColumnFormula>RIGHT(A2,2)</calculatedColumnFormula>
    </tableColumn>
    <tableColumn id="10" name="Currency" dataDxfId="7"/>
    <tableColumn id="11" name="Product Name2" dataDxfId="8"/>
    <tableColumn id="12" name="Product Brand" dataDxfId="9"/>
    <tableColumn id="13" name="Price value" dataDxfId="1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tabSelected="1" zoomScale="110" zoomScaleNormal="110" topLeftCell="A13" workbookViewId="0">
      <selection activeCell="A1" sqref="A1:F35"/>
    </sheetView>
  </sheetViews>
  <sheetFormatPr defaultColWidth="12.6339285714286" defaultRowHeight="15" customHeight="1" outlineLevelCol="6"/>
  <cols>
    <col min="2" max="2" width="14.1339285714286" customWidth="1"/>
  </cols>
  <sheetData>
    <row r="1" ht="15.75" customHeight="1" spans="1:7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20"/>
    </row>
    <row r="2" ht="15.75" customHeight="1" spans="1:7">
      <c r="A2" s="21" t="s">
        <v>6</v>
      </c>
      <c r="B2" s="21" t="s">
        <v>7</v>
      </c>
      <c r="C2" s="21" t="s">
        <v>8</v>
      </c>
      <c r="D2" s="21">
        <v>1000</v>
      </c>
      <c r="E2" s="21">
        <v>30</v>
      </c>
      <c r="F2" s="21" t="s">
        <v>9</v>
      </c>
      <c r="G2" s="21"/>
    </row>
    <row r="3" ht="15.75" customHeight="1" spans="1:7">
      <c r="A3" s="22" t="s">
        <v>10</v>
      </c>
      <c r="B3" s="22" t="s">
        <v>11</v>
      </c>
      <c r="C3" s="22" t="s">
        <v>12</v>
      </c>
      <c r="D3" s="22">
        <v>80</v>
      </c>
      <c r="E3" s="22">
        <v>15</v>
      </c>
      <c r="F3" s="22" t="s">
        <v>13</v>
      </c>
      <c r="G3" s="21"/>
    </row>
    <row r="4" ht="15.75" customHeight="1" spans="1:7">
      <c r="A4" s="21" t="s">
        <v>14</v>
      </c>
      <c r="B4" s="21" t="s">
        <v>15</v>
      </c>
      <c r="C4" s="21" t="s">
        <v>16</v>
      </c>
      <c r="D4" s="21">
        <v>130</v>
      </c>
      <c r="E4" s="21">
        <v>40</v>
      </c>
      <c r="F4" s="21" t="s">
        <v>17</v>
      </c>
      <c r="G4" s="21"/>
    </row>
    <row r="5" ht="15.75" customHeight="1" spans="1:7">
      <c r="A5" s="22" t="s">
        <v>18</v>
      </c>
      <c r="B5" s="22" t="s">
        <v>19</v>
      </c>
      <c r="C5" s="22" t="s">
        <v>20</v>
      </c>
      <c r="D5" s="22">
        <v>900</v>
      </c>
      <c r="E5" s="22">
        <v>25</v>
      </c>
      <c r="F5" s="22" t="s">
        <v>9</v>
      </c>
      <c r="G5" s="21"/>
    </row>
    <row r="6" ht="15.75" customHeight="1" spans="1:7">
      <c r="A6" s="21" t="s">
        <v>21</v>
      </c>
      <c r="B6" s="21" t="s">
        <v>22</v>
      </c>
      <c r="C6" s="21" t="s">
        <v>23</v>
      </c>
      <c r="D6" s="21">
        <v>70</v>
      </c>
      <c r="E6" s="21">
        <v>20</v>
      </c>
      <c r="F6" s="21" t="s">
        <v>24</v>
      </c>
      <c r="G6" s="21"/>
    </row>
    <row r="7" ht="15.75" customHeight="1" spans="1:7">
      <c r="A7" s="22" t="s">
        <v>25</v>
      </c>
      <c r="B7" s="22" t="s">
        <v>26</v>
      </c>
      <c r="C7" s="22" t="s">
        <v>27</v>
      </c>
      <c r="D7" s="22">
        <v>200</v>
      </c>
      <c r="E7" s="22">
        <v>45</v>
      </c>
      <c r="F7" s="22" t="s">
        <v>9</v>
      </c>
      <c r="G7" s="21"/>
    </row>
    <row r="8" ht="15.75" customHeight="1" spans="1:7">
      <c r="A8" s="21" t="s">
        <v>28</v>
      </c>
      <c r="B8" s="21" t="s">
        <v>29</v>
      </c>
      <c r="C8" s="21" t="s">
        <v>30</v>
      </c>
      <c r="D8" s="21">
        <v>30</v>
      </c>
      <c r="E8" s="21">
        <v>5</v>
      </c>
      <c r="F8" s="21" t="s">
        <v>13</v>
      </c>
      <c r="G8" s="21"/>
    </row>
    <row r="9" ht="15.75" customHeight="1" spans="1:7">
      <c r="A9" s="22" t="s">
        <v>31</v>
      </c>
      <c r="B9" s="22" t="s">
        <v>32</v>
      </c>
      <c r="C9" s="22" t="s">
        <v>33</v>
      </c>
      <c r="D9" s="22">
        <v>90</v>
      </c>
      <c r="E9" s="22">
        <v>35</v>
      </c>
      <c r="F9" s="22" t="s">
        <v>17</v>
      </c>
      <c r="G9" s="21"/>
    </row>
    <row r="10" ht="15.75" customHeight="1" spans="1:7">
      <c r="A10" s="21" t="s">
        <v>34</v>
      </c>
      <c r="B10" s="21" t="s">
        <v>35</v>
      </c>
      <c r="C10" s="21" t="s">
        <v>36</v>
      </c>
      <c r="D10" s="21">
        <v>500</v>
      </c>
      <c r="E10" s="21">
        <v>50</v>
      </c>
      <c r="F10" s="21" t="s">
        <v>9</v>
      </c>
      <c r="G10" s="21"/>
    </row>
    <row r="11" ht="15.75" customHeight="1" spans="1:7">
      <c r="A11" s="22" t="s">
        <v>37</v>
      </c>
      <c r="B11" s="22" t="s">
        <v>38</v>
      </c>
      <c r="C11" s="22" t="s">
        <v>39</v>
      </c>
      <c r="D11" s="22">
        <v>130</v>
      </c>
      <c r="E11" s="22">
        <v>10</v>
      </c>
      <c r="F11" s="22" t="s">
        <v>24</v>
      </c>
      <c r="G11" s="21"/>
    </row>
    <row r="12" ht="15.75" customHeight="1" spans="1:7">
      <c r="A12" s="21" t="s">
        <v>40</v>
      </c>
      <c r="B12" s="21" t="s">
        <v>7</v>
      </c>
      <c r="C12" s="21" t="s">
        <v>41</v>
      </c>
      <c r="D12" s="21">
        <v>950</v>
      </c>
      <c r="E12" s="21">
        <v>25</v>
      </c>
      <c r="F12" s="21" t="s">
        <v>9</v>
      </c>
      <c r="G12" s="21"/>
    </row>
    <row r="13" ht="15.75" customHeight="1" spans="1:7">
      <c r="A13" s="22" t="s">
        <v>42</v>
      </c>
      <c r="B13" s="22" t="s">
        <v>11</v>
      </c>
      <c r="C13" s="22" t="s">
        <v>30</v>
      </c>
      <c r="D13" s="22">
        <v>90</v>
      </c>
      <c r="E13" s="22">
        <v>40</v>
      </c>
      <c r="F13" s="22" t="s">
        <v>13</v>
      </c>
      <c r="G13" s="21"/>
    </row>
    <row r="14" ht="15.75" customHeight="1" spans="1:7">
      <c r="A14" s="21" t="s">
        <v>43</v>
      </c>
      <c r="B14" s="21" t="s">
        <v>15</v>
      </c>
      <c r="C14" s="21" t="s">
        <v>44</v>
      </c>
      <c r="D14" s="21">
        <v>120</v>
      </c>
      <c r="E14" s="21">
        <v>35</v>
      </c>
      <c r="F14" s="21" t="s">
        <v>17</v>
      </c>
      <c r="G14" s="21"/>
    </row>
    <row r="15" ht="15.75" customHeight="1" spans="1:7">
      <c r="A15" s="22" t="s">
        <v>45</v>
      </c>
      <c r="B15" s="22" t="s">
        <v>46</v>
      </c>
      <c r="C15" s="22" t="s">
        <v>47</v>
      </c>
      <c r="D15" s="22">
        <v>150</v>
      </c>
      <c r="E15" s="22">
        <v>15</v>
      </c>
      <c r="F15" s="22" t="s">
        <v>9</v>
      </c>
      <c r="G15" s="21"/>
    </row>
    <row r="16" ht="15.75" customHeight="1" spans="1:7">
      <c r="A16" s="21" t="s">
        <v>48</v>
      </c>
      <c r="B16" s="21" t="s">
        <v>26</v>
      </c>
      <c r="C16" s="21" t="s">
        <v>49</v>
      </c>
      <c r="D16" s="21">
        <v>250</v>
      </c>
      <c r="E16" s="21">
        <v>20</v>
      </c>
      <c r="F16" s="21" t="s">
        <v>9</v>
      </c>
      <c r="G16" s="21"/>
    </row>
    <row r="17" ht="15.75" customHeight="1" spans="1:7">
      <c r="A17" s="22" t="s">
        <v>50</v>
      </c>
      <c r="B17" s="22" t="s">
        <v>51</v>
      </c>
      <c r="C17" s="22" t="s">
        <v>52</v>
      </c>
      <c r="D17" s="22">
        <v>50</v>
      </c>
      <c r="E17" s="22">
        <v>35</v>
      </c>
      <c r="F17" s="22" t="s">
        <v>53</v>
      </c>
      <c r="G17" s="21"/>
    </row>
    <row r="18" ht="15.75" customHeight="1" spans="1:7">
      <c r="A18" s="21" t="s">
        <v>54</v>
      </c>
      <c r="B18" s="21" t="s">
        <v>46</v>
      </c>
      <c r="C18" s="21" t="s">
        <v>55</v>
      </c>
      <c r="D18" s="21">
        <v>160</v>
      </c>
      <c r="E18" s="21">
        <v>15</v>
      </c>
      <c r="F18" s="21" t="s">
        <v>9</v>
      </c>
      <c r="G18" s="21"/>
    </row>
    <row r="19" ht="15.75" customHeight="1" spans="1:7">
      <c r="A19" s="22" t="s">
        <v>56</v>
      </c>
      <c r="B19" s="22" t="s">
        <v>7</v>
      </c>
      <c r="C19" s="22" t="s">
        <v>57</v>
      </c>
      <c r="D19" s="22">
        <v>980</v>
      </c>
      <c r="E19" s="22">
        <v>10</v>
      </c>
      <c r="F19" s="22" t="s">
        <v>9</v>
      </c>
      <c r="G19" s="21"/>
    </row>
    <row r="20" ht="15.75" customHeight="1" spans="1:7">
      <c r="A20" s="21" t="s">
        <v>58</v>
      </c>
      <c r="B20" s="21" t="s">
        <v>59</v>
      </c>
      <c r="C20" s="21" t="s">
        <v>60</v>
      </c>
      <c r="D20" s="21">
        <v>150</v>
      </c>
      <c r="E20" s="21">
        <v>15</v>
      </c>
      <c r="F20" s="21" t="s">
        <v>13</v>
      </c>
      <c r="G20" s="21"/>
    </row>
    <row r="21" ht="15.75" customHeight="1" spans="1:7">
      <c r="A21" s="22" t="s">
        <v>61</v>
      </c>
      <c r="B21" s="22" t="s">
        <v>62</v>
      </c>
      <c r="C21" s="22" t="s">
        <v>63</v>
      </c>
      <c r="D21" s="22">
        <v>200</v>
      </c>
      <c r="E21" s="22">
        <v>10</v>
      </c>
      <c r="F21" s="22" t="s">
        <v>24</v>
      </c>
      <c r="G21" s="21"/>
    </row>
    <row r="22" ht="15.75" customHeight="1" spans="1:7">
      <c r="A22" s="21" t="s">
        <v>64</v>
      </c>
      <c r="B22" s="21" t="s">
        <v>65</v>
      </c>
      <c r="C22" s="21" t="s">
        <v>66</v>
      </c>
      <c r="D22" s="21">
        <v>700</v>
      </c>
      <c r="E22" s="21">
        <v>50</v>
      </c>
      <c r="F22" s="21" t="s">
        <v>9</v>
      </c>
      <c r="G22" s="21"/>
    </row>
    <row r="23" ht="15.75" customHeight="1" spans="1:7">
      <c r="A23" s="22" t="s">
        <v>67</v>
      </c>
      <c r="B23" s="22" t="s">
        <v>68</v>
      </c>
      <c r="C23" s="22" t="s">
        <v>69</v>
      </c>
      <c r="D23" s="22">
        <v>80</v>
      </c>
      <c r="E23" s="22">
        <v>20</v>
      </c>
      <c r="F23" s="22" t="s">
        <v>17</v>
      </c>
      <c r="G23" s="21"/>
    </row>
    <row r="24" ht="15.75" customHeight="1" spans="1:7">
      <c r="A24" s="21" t="s">
        <v>70</v>
      </c>
      <c r="B24" s="21" t="s">
        <v>71</v>
      </c>
      <c r="C24" s="21" t="s">
        <v>72</v>
      </c>
      <c r="D24" s="21">
        <v>150</v>
      </c>
      <c r="E24" s="21">
        <v>30</v>
      </c>
      <c r="F24" s="21" t="s">
        <v>9</v>
      </c>
      <c r="G24" s="21"/>
    </row>
    <row r="25" ht="15.75" customHeight="1" spans="1:7">
      <c r="A25" s="22" t="s">
        <v>50</v>
      </c>
      <c r="B25" s="22" t="s">
        <v>51</v>
      </c>
      <c r="C25" s="22" t="s">
        <v>52</v>
      </c>
      <c r="D25" s="22">
        <v>50</v>
      </c>
      <c r="E25" s="22">
        <v>35</v>
      </c>
      <c r="F25" s="22" t="s">
        <v>53</v>
      </c>
      <c r="G25" s="23"/>
    </row>
    <row r="26" ht="15.75" customHeight="1" spans="1:7">
      <c r="A26" s="21" t="s">
        <v>73</v>
      </c>
      <c r="B26" s="21" t="s">
        <v>19</v>
      </c>
      <c r="C26" s="21" t="s">
        <v>74</v>
      </c>
      <c r="D26" s="21">
        <v>800</v>
      </c>
      <c r="E26" s="21">
        <v>45</v>
      </c>
      <c r="F26" s="21" t="s">
        <v>9</v>
      </c>
      <c r="G26" s="21"/>
    </row>
    <row r="27" ht="15.75" customHeight="1" spans="1:7">
      <c r="A27" s="22" t="s">
        <v>75</v>
      </c>
      <c r="B27" s="22" t="s">
        <v>59</v>
      </c>
      <c r="C27" s="22" t="s">
        <v>76</v>
      </c>
      <c r="D27" s="22">
        <v>130</v>
      </c>
      <c r="E27" s="22">
        <v>25</v>
      </c>
      <c r="F27" s="22" t="s">
        <v>13</v>
      </c>
      <c r="G27" s="21"/>
    </row>
    <row r="28" ht="15.75" customHeight="1" spans="1:7">
      <c r="A28" s="21" t="s">
        <v>77</v>
      </c>
      <c r="B28" s="21" t="s">
        <v>32</v>
      </c>
      <c r="C28" s="21" t="s">
        <v>78</v>
      </c>
      <c r="D28" s="21">
        <v>400</v>
      </c>
      <c r="E28" s="21">
        <v>40</v>
      </c>
      <c r="F28" s="21" t="s">
        <v>17</v>
      </c>
      <c r="G28" s="21"/>
    </row>
    <row r="29" ht="15.75" customHeight="1" spans="1:7">
      <c r="A29" s="22" t="s">
        <v>48</v>
      </c>
      <c r="B29" s="22" t="s">
        <v>26</v>
      </c>
      <c r="C29" s="22" t="s">
        <v>49</v>
      </c>
      <c r="D29" s="22">
        <v>230</v>
      </c>
      <c r="E29" s="22">
        <v>20</v>
      </c>
      <c r="F29" s="22" t="s">
        <v>9</v>
      </c>
      <c r="G29" s="23"/>
    </row>
    <row r="30" ht="15.75" customHeight="1" spans="1:7">
      <c r="A30" s="21" t="s">
        <v>79</v>
      </c>
      <c r="B30" s="21" t="s">
        <v>80</v>
      </c>
      <c r="C30" s="21" t="s">
        <v>81</v>
      </c>
      <c r="D30" s="21">
        <v>60</v>
      </c>
      <c r="E30" s="21">
        <v>30</v>
      </c>
      <c r="F30" s="21" t="s">
        <v>13</v>
      </c>
      <c r="G30" s="21"/>
    </row>
    <row r="31" ht="15.75" customHeight="1" spans="1:7">
      <c r="A31" s="22" t="s">
        <v>82</v>
      </c>
      <c r="B31" s="22" t="s">
        <v>83</v>
      </c>
      <c r="C31" s="22" t="s">
        <v>84</v>
      </c>
      <c r="D31" s="22">
        <v>40</v>
      </c>
      <c r="E31" s="22">
        <v>10</v>
      </c>
      <c r="F31" s="22" t="s">
        <v>17</v>
      </c>
      <c r="G31" s="21"/>
    </row>
    <row r="32" ht="15.75" customHeight="1" spans="1:7">
      <c r="A32" s="21" t="s">
        <v>85</v>
      </c>
      <c r="B32" s="21" t="s">
        <v>71</v>
      </c>
      <c r="C32" s="21" t="s">
        <v>86</v>
      </c>
      <c r="D32" s="21">
        <v>130</v>
      </c>
      <c r="E32" s="21">
        <v>5</v>
      </c>
      <c r="F32" s="21" t="s">
        <v>9</v>
      </c>
      <c r="G32" s="21"/>
    </row>
    <row r="33" ht="15.75" customHeight="1" spans="1:7">
      <c r="A33" s="22" t="s">
        <v>87</v>
      </c>
      <c r="B33" s="22" t="s">
        <v>88</v>
      </c>
      <c r="C33" s="22" t="s">
        <v>89</v>
      </c>
      <c r="D33" s="22">
        <v>50</v>
      </c>
      <c r="E33" s="22">
        <v>50</v>
      </c>
      <c r="F33" s="22" t="s">
        <v>13</v>
      </c>
      <c r="G33" s="21"/>
    </row>
    <row r="34" ht="15.75" customHeight="1" spans="1:7">
      <c r="A34" s="21" t="s">
        <v>40</v>
      </c>
      <c r="B34" s="21" t="s">
        <v>7</v>
      </c>
      <c r="C34" s="21" t="s">
        <v>41</v>
      </c>
      <c r="D34" s="21">
        <v>950</v>
      </c>
      <c r="E34" s="21">
        <v>25</v>
      </c>
      <c r="F34" s="21" t="s">
        <v>9</v>
      </c>
      <c r="G34" s="21"/>
    </row>
    <row r="35" ht="15.75" customHeight="1" spans="1:7">
      <c r="A35" s="22" t="s">
        <v>90</v>
      </c>
      <c r="B35" s="22" t="s">
        <v>91</v>
      </c>
      <c r="C35" s="22" t="s">
        <v>92</v>
      </c>
      <c r="D35" s="22">
        <v>100</v>
      </c>
      <c r="E35" s="22">
        <v>20</v>
      </c>
      <c r="F35" s="22" t="s">
        <v>53</v>
      </c>
      <c r="G35" s="2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L1000"/>
  <sheetViews>
    <sheetView workbookViewId="0">
      <selection activeCell="L6" sqref="L6"/>
    </sheetView>
  </sheetViews>
  <sheetFormatPr defaultColWidth="12.6339285714286" defaultRowHeight="15" customHeight="1"/>
  <cols>
    <col min="1" max="1" width="15.9196428571429" customWidth="1"/>
    <col min="2" max="3" width="17.2589285714286" customWidth="1"/>
    <col min="4" max="4" width="14.2857142857143" customWidth="1"/>
    <col min="5" max="5" width="14.4285714285714" customWidth="1"/>
    <col min="7" max="7" width="20.5357142857143" customWidth="1"/>
    <col min="8" max="8" width="18.1517857142857" customWidth="1"/>
    <col min="9" max="9" width="19.3392857142857" customWidth="1"/>
    <col min="10" max="10" width="26.1875" customWidth="1"/>
    <col min="11" max="11" width="18.1517857142857" customWidth="1"/>
    <col min="12" max="12" width="21.4196428571429" customWidth="1"/>
  </cols>
  <sheetData>
    <row r="1" ht="15.75" customHeight="1" spans="1:11">
      <c r="A1" s="10" t="s">
        <v>0</v>
      </c>
      <c r="B1" s="11" t="s">
        <v>1</v>
      </c>
      <c r="C1" s="11" t="s">
        <v>2</v>
      </c>
      <c r="D1" s="11" t="s">
        <v>4</v>
      </c>
      <c r="E1" s="11" t="s">
        <v>5</v>
      </c>
      <c r="F1" s="11" t="s">
        <v>3</v>
      </c>
      <c r="G1" s="8" t="s">
        <v>93</v>
      </c>
      <c r="H1" s="12" t="s">
        <v>94</v>
      </c>
      <c r="I1" s="9" t="s">
        <v>95</v>
      </c>
      <c r="J1" s="9" t="s">
        <v>96</v>
      </c>
      <c r="K1" s="9" t="s">
        <v>97</v>
      </c>
    </row>
    <row r="2" ht="15.75" customHeight="1" spans="1:11">
      <c r="A2" s="13" t="s">
        <v>6</v>
      </c>
      <c r="B2" s="13" t="s">
        <v>7</v>
      </c>
      <c r="C2" s="13" t="s">
        <v>8</v>
      </c>
      <c r="D2" s="13">
        <v>30</v>
      </c>
      <c r="E2" s="13" t="s">
        <v>9</v>
      </c>
      <c r="F2" s="13">
        <v>1000</v>
      </c>
      <c r="G2" s="1" t="str">
        <f>RIGHT(A2,2)</f>
        <v>US</v>
      </c>
      <c r="H2" s="14">
        <v>1000</v>
      </c>
      <c r="I2" s="1" t="str">
        <f>PROPER(B2)</f>
        <v>Laptop</v>
      </c>
      <c r="J2" s="1" t="str">
        <f>_xlfn.CONCAT(B2,"-",C2)</f>
        <v>Laptop-Dell</v>
      </c>
      <c r="K2" s="1" t="str">
        <f>IF($F$2="","Missing","Available")</f>
        <v>Available</v>
      </c>
    </row>
    <row r="3" ht="15.75" customHeight="1" spans="1:11">
      <c r="A3" s="15" t="s">
        <v>10</v>
      </c>
      <c r="B3" s="15" t="s">
        <v>11</v>
      </c>
      <c r="C3" s="15" t="s">
        <v>12</v>
      </c>
      <c r="D3" s="15">
        <v>15</v>
      </c>
      <c r="E3" s="15" t="s">
        <v>13</v>
      </c>
      <c r="F3" s="15">
        <v>80</v>
      </c>
      <c r="G3" s="1" t="str">
        <f t="shared" ref="G3:G35" si="0">RIGHT(A3,2)</f>
        <v>US</v>
      </c>
      <c r="H3" s="16">
        <v>80</v>
      </c>
      <c r="I3" s="1" t="str">
        <f t="shared" ref="I3:I33" si="1">PROPER(B3)</f>
        <v>Sneakers</v>
      </c>
      <c r="J3" s="1" t="str">
        <f>_xlfn.CONCAT(B3,"-",C3)</f>
        <v>Sneakers-Nike</v>
      </c>
      <c r="K3" s="1" t="str">
        <f>IF($F$3="","Missing","Available")</f>
        <v>Available</v>
      </c>
    </row>
    <row r="4" ht="15.75" customHeight="1" spans="1:11">
      <c r="A4" s="13" t="s">
        <v>14</v>
      </c>
      <c r="B4" s="13" t="s">
        <v>15</v>
      </c>
      <c r="C4" s="13" t="s">
        <v>16</v>
      </c>
      <c r="D4" s="13">
        <v>40</v>
      </c>
      <c r="E4" s="13" t="s">
        <v>17</v>
      </c>
      <c r="F4" s="13">
        <v>130</v>
      </c>
      <c r="G4" s="1" t="str">
        <f t="shared" si="0"/>
        <v>US</v>
      </c>
      <c r="H4" s="14">
        <v>130</v>
      </c>
      <c r="I4" s="1" t="str">
        <f t="shared" si="1"/>
        <v>Coffee Maker</v>
      </c>
      <c r="J4" s="1" t="str">
        <f>_xlfn.CONCAT(B4,"-",C4)</f>
        <v>Coffee Maker-Keurig</v>
      </c>
      <c r="K4" s="1" t="str">
        <f>IF($F$4="","Missing","Available")</f>
        <v>Available</v>
      </c>
    </row>
    <row r="5" ht="15.75" customHeight="1" spans="1:11">
      <c r="A5" s="15" t="s">
        <v>18</v>
      </c>
      <c r="B5" s="15" t="s">
        <v>19</v>
      </c>
      <c r="C5" s="15" t="s">
        <v>20</v>
      </c>
      <c r="D5" s="15">
        <v>25</v>
      </c>
      <c r="E5" s="15" t="s">
        <v>9</v>
      </c>
      <c r="F5" s="15">
        <v>900</v>
      </c>
      <c r="G5" s="1" t="str">
        <f t="shared" si="0"/>
        <v>US</v>
      </c>
      <c r="H5" s="16">
        <v>900</v>
      </c>
      <c r="I5" s="1" t="str">
        <f t="shared" si="1"/>
        <v>Smartphone</v>
      </c>
      <c r="J5" s="1" t="str">
        <f>_xlfn.CONCAT(B5,"-",C5)</f>
        <v>Smartphone-Samsung</v>
      </c>
      <c r="K5" s="1" t="str">
        <f>IF($F$5="","Missing","Available")</f>
        <v>Available</v>
      </c>
    </row>
    <row r="6" ht="15.75" customHeight="1" spans="1:11">
      <c r="A6" s="13" t="s">
        <v>21</v>
      </c>
      <c r="B6" s="13" t="s">
        <v>22</v>
      </c>
      <c r="C6" s="13" t="s">
        <v>23</v>
      </c>
      <c r="D6" s="13">
        <v>20</v>
      </c>
      <c r="E6" s="13" t="s">
        <v>24</v>
      </c>
      <c r="F6" s="13">
        <v>70</v>
      </c>
      <c r="G6" s="1" t="str">
        <f t="shared" si="0"/>
        <v>US</v>
      </c>
      <c r="H6" s="14">
        <v>70</v>
      </c>
      <c r="I6" s="1" t="str">
        <f t="shared" si="1"/>
        <v>Backpack</v>
      </c>
      <c r="J6" s="1" t="str">
        <f>_xlfn.CONCAT(B6,"-",C6)</f>
        <v>Backpack-North Face</v>
      </c>
      <c r="K6" s="1" t="str">
        <f>IF($F$6="","Missing","Available")</f>
        <v>Available</v>
      </c>
    </row>
    <row r="7" ht="15.75" customHeight="1" spans="1:11">
      <c r="A7" s="15" t="s">
        <v>25</v>
      </c>
      <c r="B7" s="15" t="s">
        <v>26</v>
      </c>
      <c r="C7" s="15" t="s">
        <v>27</v>
      </c>
      <c r="D7" s="15">
        <v>45</v>
      </c>
      <c r="E7" s="15" t="s">
        <v>9</v>
      </c>
      <c r="F7" s="15">
        <v>200</v>
      </c>
      <c r="G7" s="1" t="str">
        <f t="shared" si="0"/>
        <v>UK</v>
      </c>
      <c r="H7" s="16">
        <v>200</v>
      </c>
      <c r="I7" s="1" t="str">
        <f t="shared" si="1"/>
        <v>Headphones</v>
      </c>
      <c r="J7" s="1" t="str">
        <f>_xlfn.CONCAT(B7," ",C7)</f>
        <v>Headphones Sony</v>
      </c>
      <c r="K7" s="1" t="str">
        <f>IF($F$7="","Missing","Available")</f>
        <v>Available</v>
      </c>
    </row>
    <row r="8" ht="15.75" customHeight="1" spans="1:11">
      <c r="A8" s="13" t="s">
        <v>28</v>
      </c>
      <c r="B8" s="13" t="s">
        <v>29</v>
      </c>
      <c r="C8" s="13" t="s">
        <v>30</v>
      </c>
      <c r="D8" s="13">
        <v>5</v>
      </c>
      <c r="E8" s="13" t="s">
        <v>13</v>
      </c>
      <c r="F8" s="13">
        <v>30</v>
      </c>
      <c r="G8" s="1" t="str">
        <f t="shared" si="0"/>
        <v>UK</v>
      </c>
      <c r="H8" s="14">
        <v>30</v>
      </c>
      <c r="I8" s="1" t="str">
        <f t="shared" si="1"/>
        <v>T-Shirt</v>
      </c>
      <c r="J8" s="1" t="str">
        <f>_xlfn.CONCAT(B8," ",C8)</f>
        <v>T-shirt Adidas</v>
      </c>
      <c r="K8" s="1" t="str">
        <f>IF($F$8="","Missing","Available")</f>
        <v>Available</v>
      </c>
    </row>
    <row r="9" ht="15.75" customHeight="1" spans="1:11">
      <c r="A9" s="15" t="s">
        <v>31</v>
      </c>
      <c r="B9" s="15" t="s">
        <v>32</v>
      </c>
      <c r="C9" s="15" t="s">
        <v>33</v>
      </c>
      <c r="D9" s="15">
        <v>35</v>
      </c>
      <c r="E9" s="15" t="s">
        <v>17</v>
      </c>
      <c r="F9" s="15">
        <v>90</v>
      </c>
      <c r="G9" s="1" t="str">
        <f t="shared" si="0"/>
        <v>UK</v>
      </c>
      <c r="H9" s="16">
        <v>90</v>
      </c>
      <c r="I9" s="1" t="str">
        <f t="shared" si="1"/>
        <v>Blender</v>
      </c>
      <c r="J9" s="1" t="str">
        <f>_xlfn.CONCAT(B9,"-",C2)</f>
        <v>Blender-Dell</v>
      </c>
      <c r="K9" s="1" t="str">
        <f>IF($F$9="","Missing","Available")</f>
        <v>Available</v>
      </c>
    </row>
    <row r="10" ht="15.75" customHeight="1" spans="1:11">
      <c r="A10" s="13" t="s">
        <v>34</v>
      </c>
      <c r="B10" s="13" t="s">
        <v>35</v>
      </c>
      <c r="C10" s="13" t="s">
        <v>36</v>
      </c>
      <c r="D10" s="13">
        <v>50</v>
      </c>
      <c r="E10" s="13" t="s">
        <v>9</v>
      </c>
      <c r="F10" s="13">
        <v>500</v>
      </c>
      <c r="G10" s="1" t="str">
        <f t="shared" si="0"/>
        <v>UK</v>
      </c>
      <c r="H10" s="14">
        <v>500</v>
      </c>
      <c r="I10" s="1" t="str">
        <f t="shared" si="1"/>
        <v>Tablet</v>
      </c>
      <c r="J10" s="1" t="str">
        <f t="shared" ref="J10:J33" si="2">_xlfn.CONCAT(B10,"-",C10)</f>
        <v>Tablet-Apple</v>
      </c>
      <c r="K10" s="1" t="str">
        <f>IF($F$10="","Missing","Available")</f>
        <v>Available</v>
      </c>
    </row>
    <row r="11" ht="15.75" customHeight="1" spans="1:11">
      <c r="A11" s="15" t="s">
        <v>37</v>
      </c>
      <c r="B11" s="15" t="s">
        <v>38</v>
      </c>
      <c r="C11" s="15" t="s">
        <v>39</v>
      </c>
      <c r="D11" s="15">
        <v>10</v>
      </c>
      <c r="E11" s="15" t="s">
        <v>24</v>
      </c>
      <c r="F11" s="15">
        <v>130</v>
      </c>
      <c r="G11" s="1" t="str">
        <f t="shared" si="0"/>
        <v>UK</v>
      </c>
      <c r="H11" s="16">
        <v>130</v>
      </c>
      <c r="I11" s="1" t="str">
        <f t="shared" si="1"/>
        <v>Hiking Boots</v>
      </c>
      <c r="J11" s="1" t="str">
        <f t="shared" si="2"/>
        <v>Hiking Boots-Timberland</v>
      </c>
      <c r="K11" s="1" t="str">
        <f>IF($F$11="","Missing","Available")</f>
        <v>Available</v>
      </c>
    </row>
    <row r="12" ht="15.75" customHeight="1" spans="1:11">
      <c r="A12" s="13" t="s">
        <v>40</v>
      </c>
      <c r="B12" s="13" t="s">
        <v>7</v>
      </c>
      <c r="C12" s="13" t="s">
        <v>41</v>
      </c>
      <c r="D12" s="13">
        <v>25</v>
      </c>
      <c r="E12" s="13" t="s">
        <v>9</v>
      </c>
      <c r="F12" s="13">
        <v>950</v>
      </c>
      <c r="G12" s="1" t="str">
        <f t="shared" si="0"/>
        <v>IN</v>
      </c>
      <c r="H12" s="14">
        <v>950</v>
      </c>
      <c r="I12" s="1" t="str">
        <f t="shared" si="1"/>
        <v>Laptop</v>
      </c>
      <c r="J12" s="1" t="str">
        <f t="shared" si="2"/>
        <v>Laptop-HP</v>
      </c>
      <c r="K12" s="1" t="str">
        <f>IF($F$12="","Missing","Available")</f>
        <v>Available</v>
      </c>
    </row>
    <row r="13" ht="15.75" customHeight="1" spans="1:11">
      <c r="A13" s="15" t="s">
        <v>42</v>
      </c>
      <c r="B13" s="15" t="s">
        <v>11</v>
      </c>
      <c r="C13" s="15" t="s">
        <v>30</v>
      </c>
      <c r="D13" s="15">
        <v>40</v>
      </c>
      <c r="E13" s="15" t="s">
        <v>13</v>
      </c>
      <c r="F13" s="15">
        <v>90</v>
      </c>
      <c r="G13" s="1" t="str">
        <f t="shared" si="0"/>
        <v>AU</v>
      </c>
      <c r="H13" s="16">
        <v>90</v>
      </c>
      <c r="I13" s="1" t="str">
        <f t="shared" si="1"/>
        <v>Sneakers</v>
      </c>
      <c r="J13" s="1" t="str">
        <f t="shared" si="2"/>
        <v>Sneakers-Adidas</v>
      </c>
      <c r="K13" s="1" t="str">
        <f>IF($F$13="","Missing","Available")</f>
        <v>Available</v>
      </c>
    </row>
    <row r="14" ht="15.75" customHeight="1" spans="1:11">
      <c r="A14" s="13" t="s">
        <v>43</v>
      </c>
      <c r="B14" s="13" t="s">
        <v>15</v>
      </c>
      <c r="C14" s="13" t="s">
        <v>44</v>
      </c>
      <c r="D14" s="13">
        <v>35</v>
      </c>
      <c r="E14" s="13" t="s">
        <v>17</v>
      </c>
      <c r="F14" s="13">
        <v>120</v>
      </c>
      <c r="G14" s="1" t="str">
        <f t="shared" si="0"/>
        <v>DE</v>
      </c>
      <c r="H14" s="14">
        <v>120</v>
      </c>
      <c r="I14" s="1" t="str">
        <f t="shared" si="1"/>
        <v>Coffee Maker</v>
      </c>
      <c r="J14" s="1" t="str">
        <f t="shared" si="2"/>
        <v>Coffee Maker-Nespresso</v>
      </c>
      <c r="K14" s="1" t="str">
        <f>IF($F$14="","Missing","Available")</f>
        <v>Available</v>
      </c>
    </row>
    <row r="15" ht="15.75" customHeight="1" spans="1:11">
      <c r="A15" s="15" t="s">
        <v>45</v>
      </c>
      <c r="B15" s="15" t="s">
        <v>46</v>
      </c>
      <c r="C15" s="15" t="s">
        <v>47</v>
      </c>
      <c r="D15" s="15">
        <v>15</v>
      </c>
      <c r="E15" s="15" t="s">
        <v>9</v>
      </c>
      <c r="F15" s="15">
        <v>150</v>
      </c>
      <c r="G15" s="1" t="str">
        <f t="shared" si="0"/>
        <v>CA</v>
      </c>
      <c r="H15" s="16">
        <v>150</v>
      </c>
      <c r="I15" s="1" t="str">
        <f t="shared" si="1"/>
        <v>Smartwatch</v>
      </c>
      <c r="J15" s="1" t="str">
        <f t="shared" si="2"/>
        <v>Smartwatch-Fitbit</v>
      </c>
      <c r="K15" s="1" t="str">
        <f>IF($F$15="","Missing","Available")</f>
        <v>Available</v>
      </c>
    </row>
    <row r="16" ht="15.75" customHeight="1" spans="1:11">
      <c r="A16" s="13" t="s">
        <v>48</v>
      </c>
      <c r="B16" s="13" t="s">
        <v>26</v>
      </c>
      <c r="C16" s="13" t="s">
        <v>49</v>
      </c>
      <c r="D16" s="13">
        <v>20</v>
      </c>
      <c r="E16" s="13" t="s">
        <v>9</v>
      </c>
      <c r="F16" s="13">
        <v>250</v>
      </c>
      <c r="G16" s="1" t="str">
        <f t="shared" si="0"/>
        <v>ES</v>
      </c>
      <c r="H16" s="14">
        <v>250</v>
      </c>
      <c r="I16" s="1" t="str">
        <f t="shared" si="1"/>
        <v>Headphones</v>
      </c>
      <c r="J16" s="1" t="str">
        <f t="shared" si="2"/>
        <v>Headphones-Bose</v>
      </c>
      <c r="K16" s="1" t="str">
        <f>IF($F$16="","Missing","Available")</f>
        <v>Available</v>
      </c>
    </row>
    <row r="17" ht="15.75" customHeight="1" spans="1:12">
      <c r="A17" s="15" t="s">
        <v>50</v>
      </c>
      <c r="B17" s="15" t="s">
        <v>51</v>
      </c>
      <c r="C17" s="15" t="s">
        <v>52</v>
      </c>
      <c r="D17" s="15">
        <v>35</v>
      </c>
      <c r="E17" s="15" t="s">
        <v>53</v>
      </c>
      <c r="F17" s="15">
        <v>50</v>
      </c>
      <c r="G17" s="1" t="str">
        <f t="shared" si="0"/>
        <v>CA</v>
      </c>
      <c r="H17" s="16">
        <v>50</v>
      </c>
      <c r="I17" s="1" t="str">
        <f t="shared" si="1"/>
        <v>Laptop Bag</v>
      </c>
      <c r="J17" s="1" t="str">
        <f t="shared" si="2"/>
        <v>Laptop Bag-Samsonite</v>
      </c>
      <c r="K17" s="1" t="str">
        <f>IF($F$16="","Missing","Available")</f>
        <v>Available</v>
      </c>
    </row>
    <row r="18" ht="15.75" customHeight="1" spans="1:12">
      <c r="A18" s="13" t="s">
        <v>54</v>
      </c>
      <c r="B18" s="13" t="s">
        <v>46</v>
      </c>
      <c r="C18" s="13" t="s">
        <v>55</v>
      </c>
      <c r="D18" s="13">
        <v>15</v>
      </c>
      <c r="E18" s="13" t="s">
        <v>9</v>
      </c>
      <c r="F18" s="13">
        <v>160</v>
      </c>
      <c r="G18" s="1" t="str">
        <f t="shared" si="0"/>
        <v>CN</v>
      </c>
      <c r="H18" s="14">
        <v>160</v>
      </c>
      <c r="I18" s="1" t="str">
        <f t="shared" si="1"/>
        <v>Smartwatch</v>
      </c>
      <c r="J18" s="1" t="str">
        <f t="shared" si="2"/>
        <v>Smartwatch-Huawei</v>
      </c>
      <c r="K18" s="1" t="str">
        <f>IF($F$18="","Missing","Available")</f>
        <v>Available</v>
      </c>
    </row>
    <row r="19" ht="15.75" customHeight="1" spans="1:12">
      <c r="A19" s="15" t="s">
        <v>56</v>
      </c>
      <c r="B19" s="15" t="s">
        <v>7</v>
      </c>
      <c r="C19" s="15" t="s">
        <v>57</v>
      </c>
      <c r="D19" s="15">
        <v>10</v>
      </c>
      <c r="E19" s="15" t="s">
        <v>9</v>
      </c>
      <c r="F19" s="15">
        <v>980</v>
      </c>
      <c r="G19" s="1" t="str">
        <f t="shared" si="0"/>
        <v>IT</v>
      </c>
      <c r="H19" s="16">
        <v>980</v>
      </c>
      <c r="I19" s="1" t="str">
        <f t="shared" si="1"/>
        <v>Laptop</v>
      </c>
      <c r="J19" s="1" t="str">
        <f t="shared" si="2"/>
        <v>Laptop-Asus</v>
      </c>
      <c r="K19" s="1" t="str">
        <f>IF($F$19="","Missing","Available")</f>
        <v>Available</v>
      </c>
    </row>
    <row r="20" ht="15.75" customHeight="1" spans="1:12">
      <c r="A20" s="13" t="s">
        <v>58</v>
      </c>
      <c r="B20" s="13" t="s">
        <v>59</v>
      </c>
      <c r="C20" s="13" t="s">
        <v>60</v>
      </c>
      <c r="D20" s="13">
        <v>15</v>
      </c>
      <c r="E20" s="13" t="s">
        <v>13</v>
      </c>
      <c r="F20" s="13">
        <v>150</v>
      </c>
      <c r="G20" s="1" t="str">
        <f t="shared" si="0"/>
        <v>UK</v>
      </c>
      <c r="H20" s="14">
        <v>150</v>
      </c>
      <c r="I20" s="1" t="str">
        <f t="shared" si="1"/>
        <v>Sunglasses</v>
      </c>
      <c r="J20" s="1" t="str">
        <f t="shared" si="2"/>
        <v>Sunglasses-Oakley</v>
      </c>
      <c r="K20" s="1" t="str">
        <f>IF($F$20="","Missing","Available")</f>
        <v>Available</v>
      </c>
    </row>
    <row r="21" ht="15.75" customHeight="1" spans="1:12">
      <c r="A21" s="15" t="s">
        <v>61</v>
      </c>
      <c r="B21" s="15" t="s">
        <v>62</v>
      </c>
      <c r="C21" s="15" t="s">
        <v>63</v>
      </c>
      <c r="D21" s="15">
        <v>10</v>
      </c>
      <c r="E21" s="15" t="s">
        <v>24</v>
      </c>
      <c r="F21" s="15">
        <v>200</v>
      </c>
      <c r="G21" s="1" t="str">
        <f t="shared" si="0"/>
        <v>US</v>
      </c>
      <c r="H21" s="16">
        <v>200</v>
      </c>
      <c r="I21" s="1" t="str">
        <f t="shared" si="1"/>
        <v>Camping Tent</v>
      </c>
      <c r="J21" s="1" t="str">
        <f t="shared" si="2"/>
        <v>Camping Tent-Coleman</v>
      </c>
      <c r="K21" s="1" t="str">
        <f>IF($F$21="","Missing","Available")</f>
        <v>Available</v>
      </c>
    </row>
    <row r="22" ht="15.75" customHeight="1" spans="1:12">
      <c r="A22" s="13" t="s">
        <v>64</v>
      </c>
      <c r="B22" s="13" t="s">
        <v>65</v>
      </c>
      <c r="C22" s="13" t="s">
        <v>66</v>
      </c>
      <c r="D22" s="13">
        <v>50</v>
      </c>
      <c r="E22" s="13" t="s">
        <v>9</v>
      </c>
      <c r="F22" s="13">
        <v>700</v>
      </c>
      <c r="G22" s="1" t="str">
        <f t="shared" si="0"/>
        <v>RU</v>
      </c>
      <c r="H22" s="14">
        <v>700</v>
      </c>
      <c r="I22" s="1" t="str">
        <f t="shared" si="1"/>
        <v>Camera</v>
      </c>
      <c r="J22" s="1" t="str">
        <f t="shared" si="2"/>
        <v>Camera-Nikon</v>
      </c>
      <c r="K22" s="1" t="str">
        <f>IF($F$22="","Missing","Available")</f>
        <v>Available</v>
      </c>
    </row>
    <row r="23" ht="15.75" customHeight="1" spans="1:12">
      <c r="A23" s="15" t="s">
        <v>67</v>
      </c>
      <c r="B23" s="15" t="s">
        <v>68</v>
      </c>
      <c r="C23" s="15" t="s">
        <v>69</v>
      </c>
      <c r="D23" s="15">
        <v>20</v>
      </c>
      <c r="E23" s="15" t="s">
        <v>17</v>
      </c>
      <c r="F23" s="15">
        <v>80</v>
      </c>
      <c r="G23" s="1" t="str">
        <f t="shared" si="0"/>
        <v>CA</v>
      </c>
      <c r="H23" s="16">
        <v>80</v>
      </c>
      <c r="I23" s="1" t="str">
        <f t="shared" si="1"/>
        <v>Microwave</v>
      </c>
      <c r="J23" s="1" t="str">
        <f t="shared" si="2"/>
        <v>Microwave-Panasonic</v>
      </c>
      <c r="K23" s="1" t="str">
        <f>IF($F$23="","Missing","Available")</f>
        <v>Available</v>
      </c>
    </row>
    <row r="24" ht="15.75" customHeight="1" spans="1:12">
      <c r="A24" s="13" t="s">
        <v>70</v>
      </c>
      <c r="B24" s="13" t="s">
        <v>71</v>
      </c>
      <c r="C24" s="13" t="s">
        <v>72</v>
      </c>
      <c r="D24" s="13">
        <v>30</v>
      </c>
      <c r="E24" s="13" t="s">
        <v>9</v>
      </c>
      <c r="F24" s="13">
        <v>150</v>
      </c>
      <c r="G24" s="1" t="str">
        <f t="shared" si="0"/>
        <v>BR</v>
      </c>
      <c r="H24" s="14">
        <v>150</v>
      </c>
      <c r="I24" s="1" t="str">
        <f t="shared" si="1"/>
        <v>Fitness Tracker</v>
      </c>
      <c r="J24" s="1" t="str">
        <f t="shared" si="2"/>
        <v>Fitness Tracker-Xiaomi</v>
      </c>
      <c r="K24" s="1" t="str">
        <f>IF($F$24="","Missing","Available")</f>
        <v>Available</v>
      </c>
    </row>
    <row r="25" ht="15.75" customHeight="1" spans="1:12">
      <c r="A25" s="17" t="s">
        <v>73</v>
      </c>
      <c r="B25" s="17" t="s">
        <v>19</v>
      </c>
      <c r="C25" s="17" t="s">
        <v>74</v>
      </c>
      <c r="D25" s="17">
        <v>45</v>
      </c>
      <c r="E25" s="17" t="s">
        <v>9</v>
      </c>
      <c r="F25" s="17">
        <v>800</v>
      </c>
      <c r="G25" s="1" t="str">
        <f t="shared" si="0"/>
        <v>CA</v>
      </c>
      <c r="H25" s="18">
        <v>800</v>
      </c>
      <c r="I25" s="1" t="str">
        <f t="shared" si="1"/>
        <v>Smartphone</v>
      </c>
      <c r="J25" s="1" t="str">
        <f t="shared" si="2"/>
        <v>Smartphone-Google</v>
      </c>
      <c r="K25" s="1" t="str">
        <f>IF($F$25="","Missing","Available")</f>
        <v>Available</v>
      </c>
    </row>
    <row r="26" ht="15.75" customHeight="1" spans="1:12">
      <c r="A26" s="15" t="s">
        <v>75</v>
      </c>
      <c r="B26" s="15" t="s">
        <v>59</v>
      </c>
      <c r="C26" s="15" t="s">
        <v>76</v>
      </c>
      <c r="D26" s="15">
        <v>25</v>
      </c>
      <c r="E26" s="15" t="s">
        <v>13</v>
      </c>
      <c r="F26" s="15">
        <v>130</v>
      </c>
      <c r="G26" s="1" t="str">
        <f t="shared" si="0"/>
        <v>CA</v>
      </c>
      <c r="H26" s="16">
        <v>130</v>
      </c>
      <c r="I26" s="1" t="str">
        <f t="shared" si="1"/>
        <v>Sunglasses</v>
      </c>
      <c r="J26" s="1" t="str">
        <f t="shared" si="2"/>
        <v>Sunglasses-Ray-Ban</v>
      </c>
      <c r="K26" s="1" t="str">
        <f>IF($F$26="","Missing","Available")</f>
        <v>Available</v>
      </c>
    </row>
    <row r="27" ht="15.75" customHeight="1" spans="1:12">
      <c r="A27" s="17" t="s">
        <v>77</v>
      </c>
      <c r="B27" s="17" t="s">
        <v>32</v>
      </c>
      <c r="C27" s="17" t="s">
        <v>78</v>
      </c>
      <c r="D27" s="17">
        <v>40</v>
      </c>
      <c r="E27" s="17" t="s">
        <v>17</v>
      </c>
      <c r="F27" s="17">
        <v>400</v>
      </c>
      <c r="G27" s="1" t="str">
        <f t="shared" si="0"/>
        <v>CA</v>
      </c>
      <c r="H27" s="18">
        <v>400</v>
      </c>
      <c r="I27" s="1" t="str">
        <f t="shared" si="1"/>
        <v>Blender</v>
      </c>
      <c r="J27" s="1" t="str">
        <f t="shared" si="2"/>
        <v>Blender-Vitamix</v>
      </c>
      <c r="K27" s="1" t="str">
        <f>IF($F$27="","Missing","Available")</f>
        <v>Available</v>
      </c>
      <c r="L27" s="19"/>
    </row>
    <row r="28" ht="15.75" customHeight="1" spans="1:12">
      <c r="A28" s="15" t="s">
        <v>48</v>
      </c>
      <c r="B28" s="15" t="s">
        <v>26</v>
      </c>
      <c r="C28" s="15" t="s">
        <v>49</v>
      </c>
      <c r="D28" s="15">
        <v>20</v>
      </c>
      <c r="E28" s="15" t="s">
        <v>9</v>
      </c>
      <c r="F28" s="15">
        <v>230</v>
      </c>
      <c r="G28" s="1" t="str">
        <f t="shared" si="0"/>
        <v>ES</v>
      </c>
      <c r="H28" s="16">
        <v>230</v>
      </c>
      <c r="I28" s="1" t="str">
        <f t="shared" si="1"/>
        <v>Headphones</v>
      </c>
      <c r="J28" s="1" t="str">
        <f t="shared" si="2"/>
        <v>Headphones-Bose</v>
      </c>
      <c r="K28" s="1" t="str">
        <f>IF($F$28="","Missing","Available")</f>
        <v>Available</v>
      </c>
    </row>
    <row r="29" ht="15.75" customHeight="1" spans="1:12">
      <c r="A29" s="17" t="s">
        <v>79</v>
      </c>
      <c r="B29" s="17" t="s">
        <v>80</v>
      </c>
      <c r="C29" s="17" t="s">
        <v>81</v>
      </c>
      <c r="D29" s="17">
        <v>30</v>
      </c>
      <c r="E29" s="17" t="s">
        <v>13</v>
      </c>
      <c r="F29" s="17">
        <v>60</v>
      </c>
      <c r="G29" s="1" t="str">
        <f t="shared" si="0"/>
        <v>CA</v>
      </c>
      <c r="H29" s="18">
        <v>60</v>
      </c>
      <c r="I29" s="1" t="str">
        <f t="shared" si="1"/>
        <v>Dress</v>
      </c>
      <c r="J29" s="1" t="str">
        <f t="shared" si="2"/>
        <v>Dress-Zara</v>
      </c>
      <c r="K29" s="1" t="str">
        <f>IF($F$29="","Missing","Available")</f>
        <v>Available</v>
      </c>
    </row>
    <row r="30" ht="15.75" customHeight="1" spans="1:12">
      <c r="A30" s="15" t="s">
        <v>82</v>
      </c>
      <c r="B30" s="15" t="s">
        <v>83</v>
      </c>
      <c r="C30" s="15" t="s">
        <v>84</v>
      </c>
      <c r="D30" s="15">
        <v>10</v>
      </c>
      <c r="E30" s="15" t="s">
        <v>17</v>
      </c>
      <c r="F30" s="15">
        <v>40</v>
      </c>
      <c r="G30" s="1" t="str">
        <f t="shared" si="0"/>
        <v>CA</v>
      </c>
      <c r="H30" s="16">
        <v>40</v>
      </c>
      <c r="I30" s="1" t="str">
        <f t="shared" si="1"/>
        <v>Toaster</v>
      </c>
      <c r="J30" s="1" t="str">
        <f t="shared" si="2"/>
        <v>Toaster-Hamilton</v>
      </c>
      <c r="K30" s="1" t="str">
        <f>IF($F$30="","Missing","Available")</f>
        <v>Available</v>
      </c>
    </row>
    <row r="31" ht="15.75" customHeight="1" spans="1:12">
      <c r="A31" s="17" t="s">
        <v>85</v>
      </c>
      <c r="B31" s="17" t="s">
        <v>71</v>
      </c>
      <c r="C31" s="17" t="s">
        <v>86</v>
      </c>
      <c r="D31" s="17">
        <v>5</v>
      </c>
      <c r="E31" s="17" t="s">
        <v>9</v>
      </c>
      <c r="F31" s="17">
        <v>130</v>
      </c>
      <c r="G31" s="1" t="str">
        <f t="shared" si="0"/>
        <v>CA</v>
      </c>
      <c r="H31" s="18">
        <v>130</v>
      </c>
      <c r="I31" s="1" t="str">
        <f t="shared" si="1"/>
        <v>Fitness Tracker</v>
      </c>
      <c r="J31" s="1" t="str">
        <f t="shared" si="2"/>
        <v>Fitness Tracker-Garmin</v>
      </c>
      <c r="K31" s="1" t="str">
        <f>IF($F$31="","Missing","Available")</f>
        <v>Available</v>
      </c>
    </row>
    <row r="32" ht="15.75" customHeight="1" spans="1:12">
      <c r="A32" s="15" t="s">
        <v>87</v>
      </c>
      <c r="B32" s="15" t="s">
        <v>88</v>
      </c>
      <c r="C32" s="15" t="s">
        <v>89</v>
      </c>
      <c r="D32" s="15">
        <v>50</v>
      </c>
      <c r="E32" s="15" t="s">
        <v>13</v>
      </c>
      <c r="F32" s="15">
        <v>50</v>
      </c>
      <c r="G32" s="1" t="str">
        <f t="shared" si="0"/>
        <v>CA</v>
      </c>
      <c r="H32" s="16">
        <v>50</v>
      </c>
      <c r="I32" s="1" t="str">
        <f t="shared" si="1"/>
        <v>Jeans</v>
      </c>
      <c r="J32" s="1" t="str">
        <f t="shared" si="2"/>
        <v>Jeans-Levi's</v>
      </c>
      <c r="K32" s="1" t="str">
        <f>IF($F$32="","Missing","Available")</f>
        <v>Available</v>
      </c>
    </row>
    <row r="33" ht="15.75" customHeight="1" spans="1:11">
      <c r="A33" s="15" t="s">
        <v>90</v>
      </c>
      <c r="B33" s="15" t="s">
        <v>91</v>
      </c>
      <c r="C33" s="15" t="s">
        <v>92</v>
      </c>
      <c r="D33" s="15">
        <v>20</v>
      </c>
      <c r="E33" s="15" t="s">
        <v>53</v>
      </c>
      <c r="F33" s="15">
        <v>100</v>
      </c>
      <c r="G33" s="1" t="str">
        <f t="shared" si="0"/>
        <v>FR</v>
      </c>
      <c r="H33" s="16">
        <v>100</v>
      </c>
      <c r="I33" s="1" t="str">
        <f t="shared" si="1"/>
        <v>Watch</v>
      </c>
      <c r="J33" s="1" t="str">
        <f t="shared" si="2"/>
        <v>Watch-Casio</v>
      </c>
      <c r="K33" s="1" t="str">
        <f>IF($F$33="","Missing","Available")</f>
        <v>Available</v>
      </c>
    </row>
    <row r="34" ht="15.75" customHeight="1" spans="1:11">
      <c r="G34" s="1" t="str">
        <f t="shared" si="0"/>
        <v/>
      </c>
      <c r="K34" s="1" t="str">
        <f>PROPER(B34)</f>
        <v/>
      </c>
    </row>
    <row r="35" ht="15.75" customHeight="1" spans="1:11">
      <c r="G35" s="1" t="str">
        <f t="shared" si="0"/>
        <v/>
      </c>
      <c r="K35" s="1" t="str">
        <f>PROPER(B35)</f>
        <v/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$1:E$1048576">
    <cfRule type="expression" dxfId="11" priority="7">
      <formula>$E2="Electronics"</formula>
    </cfRule>
    <cfRule type="expression" priority="8">
      <formula>$E2="Electronics"</formula>
    </cfRule>
  </conditionalFormatting>
  <conditionalFormatting sqref="E2:E33">
    <cfRule type="expression" dxfId="12" priority="1">
      <formula>$E2="Outdoor"</formula>
    </cfRule>
    <cfRule type="expression" dxfId="13" priority="2">
      <formula>$E2="kitchen"</formula>
    </cfRule>
    <cfRule type="expression" dxfId="14" priority="3">
      <formula>$E2="Accessories"</formula>
    </cfRule>
    <cfRule type="expression" dxfId="15" priority="4">
      <formula>$E2="Fashion"</formula>
    </cfRule>
    <cfRule type="expression" dxfId="16" priority="5">
      <formula>$E2="fashion"</formula>
    </cfRule>
    <cfRule type="expression" dxfId="17" priority="6">
      <formula>$E2="Electronics"</formula>
    </cfRule>
  </conditionalFormatting>
  <conditionalFormatting sqref="H2:H33">
    <cfRule type="top10" dxfId="18" priority="9" percent="1" rank="10"/>
    <cfRule type="top10" dxfId="19" priority="10" bottom="1" rank="10"/>
    <cfRule type="top10" dxfId="20" priority="11" rank="10"/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workbookViewId="0">
      <selection activeCell="O31" sqref="O31"/>
    </sheetView>
  </sheetViews>
  <sheetFormatPr defaultColWidth="9.14285714285714" defaultRowHeight="14.4" outlineLevelCol="6"/>
  <cols>
    <col min="1" max="1" width="17.6964285714286" customWidth="1"/>
    <col min="2" max="2" width="16.8125" customWidth="1"/>
    <col min="3" max="3" width="20.6785714285714" customWidth="1"/>
    <col min="6" max="6" width="13.2410714285714" customWidth="1"/>
    <col min="7" max="7" width="15.7678571428571" customWidth="1"/>
  </cols>
  <sheetData>
    <row r="1" spans="1:7">
      <c r="A1" s="8" t="s">
        <v>0</v>
      </c>
      <c r="B1" s="8" t="s">
        <v>1</v>
      </c>
      <c r="C1" s="9" t="s">
        <v>2</v>
      </c>
      <c r="D1" s="9" t="s">
        <v>98</v>
      </c>
      <c r="E1" s="9" t="s">
        <v>4</v>
      </c>
      <c r="F1" s="9" t="s">
        <v>5</v>
      </c>
      <c r="G1" s="9" t="s">
        <v>99</v>
      </c>
    </row>
    <row r="2" spans="1:7">
      <c r="A2" s="1" t="s">
        <v>50</v>
      </c>
      <c r="B2" s="1" t="s">
        <v>51</v>
      </c>
      <c r="C2" s="1" t="s">
        <v>52</v>
      </c>
      <c r="D2" s="1">
        <v>50</v>
      </c>
      <c r="E2" s="1">
        <v>35</v>
      </c>
      <c r="F2" s="1" t="s">
        <v>100</v>
      </c>
      <c r="G2" s="1" t="s">
        <v>101</v>
      </c>
    </row>
    <row r="3" spans="1:7">
      <c r="A3" s="1" t="s">
        <v>50</v>
      </c>
      <c r="B3" s="1" t="s">
        <v>51</v>
      </c>
      <c r="C3" s="1" t="s">
        <v>52</v>
      </c>
      <c r="D3" s="1">
        <v>50</v>
      </c>
      <c r="E3" s="1">
        <v>35</v>
      </c>
      <c r="F3" s="1" t="s">
        <v>100</v>
      </c>
      <c r="G3" s="1" t="s">
        <v>102</v>
      </c>
    </row>
    <row r="4" spans="1:7">
      <c r="A4" s="1" t="s">
        <v>40</v>
      </c>
      <c r="B4" s="1" t="s">
        <v>7</v>
      </c>
      <c r="C4" s="1" t="s">
        <v>41</v>
      </c>
      <c r="D4" s="1">
        <v>950</v>
      </c>
      <c r="E4" s="1">
        <v>25</v>
      </c>
      <c r="F4" s="1" t="s">
        <v>9</v>
      </c>
      <c r="G4" s="1" t="s">
        <v>101</v>
      </c>
    </row>
    <row r="5" spans="1:7">
      <c r="A5" s="1" t="s">
        <v>40</v>
      </c>
      <c r="B5" s="1" t="s">
        <v>7</v>
      </c>
      <c r="C5" s="1" t="s">
        <v>41</v>
      </c>
      <c r="D5" s="1">
        <v>950</v>
      </c>
      <c r="E5" s="1">
        <v>25</v>
      </c>
      <c r="F5" s="1" t="s">
        <v>9</v>
      </c>
      <c r="G5" s="1" t="s">
        <v>102</v>
      </c>
    </row>
    <row r="6" spans="1:7">
      <c r="A6" s="1"/>
      <c r="B6" s="1"/>
    </row>
    <row r="7" spans="1:7">
      <c r="A7" s="1"/>
      <c r="B7" s="1"/>
    </row>
    <row r="8" spans="1:7">
      <c r="A8" s="1"/>
      <c r="B8" s="1"/>
    </row>
    <row r="9" spans="1:7">
      <c r="A9" s="1"/>
      <c r="B9" s="1"/>
    </row>
    <row r="10" spans="1:7">
      <c r="A10" s="1"/>
      <c r="B10" s="1"/>
    </row>
    <row r="11" spans="1:7">
      <c r="A11" s="1"/>
      <c r="B11" s="1"/>
    </row>
    <row r="12" spans="1:7">
      <c r="A12" s="1"/>
      <c r="B12" s="1"/>
    </row>
    <row r="13" spans="1:7">
      <c r="A13" s="1"/>
      <c r="B13" s="1"/>
    </row>
    <row r="14" spans="1:7">
      <c r="A14" s="1"/>
      <c r="B14" s="1"/>
    </row>
    <row r="15" spans="1:7">
      <c r="A15" s="1"/>
      <c r="B15" s="1"/>
    </row>
    <row r="16" spans="1:7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I42"/>
  <sheetViews>
    <sheetView workbookViewId="0">
      <selection activeCell="A22" sqref="A$1:A$1048576"/>
    </sheetView>
  </sheetViews>
  <sheetFormatPr defaultColWidth="9.14285714285714" defaultRowHeight="14.4"/>
  <cols>
    <col min="1" max="1" width="9.14285714285714" style="1"/>
    <col min="2" max="2" width="71.2857142857143" customWidth="1"/>
  </cols>
  <sheetData>
    <row r="4" spans="1:9">
      <c r="B4" s="2" t="s">
        <v>103</v>
      </c>
    </row>
    <row r="6" ht="29" spans="1:9">
      <c r="A6" s="1">
        <v>1</v>
      </c>
      <c r="B6" s="3" t="s">
        <v>104</v>
      </c>
    </row>
    <row r="8" ht="44" spans="1:9">
      <c r="A8" s="4">
        <v>2</v>
      </c>
      <c r="B8" s="3" t="s">
        <v>105</v>
      </c>
    </row>
    <row r="10" spans="1:9">
      <c r="A10" s="1">
        <v>3</v>
      </c>
      <c r="B10" s="5" t="s">
        <v>106</v>
      </c>
      <c r="C10" s="5"/>
      <c r="D10" s="5"/>
      <c r="E10" s="5"/>
      <c r="F10" s="5"/>
      <c r="G10" s="5"/>
      <c r="H10" s="5"/>
      <c r="I10" s="5"/>
    </row>
    <row r="11" spans="1:9">
      <c r="B11" s="5" t="s">
        <v>107</v>
      </c>
      <c r="C11" s="5"/>
      <c r="D11" s="5"/>
      <c r="E11" s="5"/>
      <c r="F11" s="5"/>
      <c r="G11" s="5"/>
      <c r="H11" s="5"/>
      <c r="I11" s="5"/>
    </row>
    <row r="12" spans="1:9">
      <c r="B12" s="5" t="s">
        <v>108</v>
      </c>
      <c r="C12" s="5"/>
      <c r="D12" s="5"/>
      <c r="E12" s="5"/>
      <c r="F12" s="5"/>
      <c r="G12" s="5"/>
      <c r="H12" s="5"/>
      <c r="I12" s="5"/>
    </row>
    <row r="13" spans="1:9">
      <c r="B13" s="5"/>
      <c r="C13" s="5"/>
      <c r="D13" s="5"/>
      <c r="E13" s="5"/>
      <c r="F13" s="5"/>
      <c r="G13" s="5"/>
      <c r="H13" s="5"/>
      <c r="I13" s="5"/>
    </row>
    <row r="14" spans="1:9">
      <c r="B14" s="5" t="s">
        <v>109</v>
      </c>
      <c r="C14" s="5"/>
      <c r="D14" s="5"/>
      <c r="E14" s="5"/>
      <c r="F14" s="5"/>
      <c r="G14" s="5"/>
      <c r="H14" s="5"/>
      <c r="I14" s="5"/>
    </row>
    <row r="15" spans="1:9">
      <c r="B15" s="5"/>
      <c r="C15" s="5"/>
      <c r="D15" s="5"/>
      <c r="E15" s="5"/>
      <c r="F15" s="5"/>
      <c r="G15" s="5"/>
      <c r="H15" s="5"/>
      <c r="I15" s="5"/>
    </row>
    <row r="16" spans="1:9">
      <c r="B16" s="6" t="s">
        <v>110</v>
      </c>
      <c r="C16" s="5"/>
      <c r="D16" s="5"/>
      <c r="E16" s="5"/>
      <c r="F16" s="5"/>
      <c r="G16" s="5"/>
      <c r="H16" s="5"/>
      <c r="I16" s="5"/>
    </row>
    <row r="17" spans="1:9">
      <c r="B17" s="6" t="s">
        <v>111</v>
      </c>
      <c r="C17" s="5"/>
      <c r="D17" s="5"/>
      <c r="E17" s="5"/>
      <c r="F17" s="5"/>
      <c r="G17" s="5"/>
      <c r="H17" s="5"/>
      <c r="I17" s="5"/>
    </row>
    <row r="18" spans="1:9">
      <c r="B18" s="7"/>
    </row>
    <row r="19" ht="15" spans="1:9">
      <c r="A19" s="1">
        <v>4</v>
      </c>
      <c r="B19" s="3" t="s">
        <v>112</v>
      </c>
    </row>
    <row r="20" spans="1:9">
      <c r="B20" t="s">
        <v>113</v>
      </c>
    </row>
    <row r="21" spans="1:9">
      <c r="B21" t="s">
        <v>114</v>
      </c>
    </row>
    <row r="23" ht="29" spans="1:9">
      <c r="A23" s="1">
        <v>5</v>
      </c>
      <c r="B23" s="3" t="s">
        <v>115</v>
      </c>
    </row>
    <row r="25" spans="1:9">
      <c r="B25" s="2" t="s">
        <v>116</v>
      </c>
    </row>
    <row r="27" spans="1:9">
      <c r="B27" t="s">
        <v>117</v>
      </c>
    </row>
    <row r="28" spans="1:9">
      <c r="B28" t="s">
        <v>118</v>
      </c>
    </row>
    <row r="30" ht="29" spans="1:9">
      <c r="A30" s="1">
        <v>6</v>
      </c>
      <c r="B30" s="3" t="s">
        <v>119</v>
      </c>
    </row>
    <row r="32" ht="29" spans="1:9">
      <c r="B32" s="3" t="s">
        <v>120</v>
      </c>
      <c r="C32" s="3"/>
      <c r="D32" s="3"/>
      <c r="E32" s="3"/>
    </row>
    <row r="34" ht="29" spans="1:2">
      <c r="A34" s="1">
        <v>7</v>
      </c>
      <c r="B34" s="3" t="s">
        <v>121</v>
      </c>
    </row>
    <row r="36" ht="29" spans="1:2">
      <c r="B36" s="3" t="s">
        <v>122</v>
      </c>
    </row>
    <row r="38" ht="29" spans="1:2">
      <c r="B38" s="3" t="s">
        <v>123</v>
      </c>
    </row>
    <row r="40" ht="29" spans="1:2">
      <c r="A40" s="1">
        <v>8</v>
      </c>
      <c r="B40" s="3" t="s">
        <v>124</v>
      </c>
    </row>
    <row r="42" ht="29" spans="1:2">
      <c r="A42" s="1">
        <v>9</v>
      </c>
      <c r="B42" s="3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Dataset</vt:lpstr>
      <vt:lpstr>Sheet1</vt:lpstr>
      <vt:lpstr>Duplicate item count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 Abisha Daphne Gold</cp:lastModifiedBy>
  <dcterms:created xsi:type="dcterms:W3CDTF">2026-06-28T21:30:00Z</dcterms:created>
  <dcterms:modified xsi:type="dcterms:W3CDTF">2026-06-30T11:02:22Z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E22CAFA406DDEBFDE654436A518114EF_43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